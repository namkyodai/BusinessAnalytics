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workspace\RProjects\BusinessAnalytics\ExcelSheetCombine\"/>
    </mc:Choice>
  </mc:AlternateContent>
  <xr:revisionPtr revIDLastSave="0" documentId="13_ncr:1_{F530B1A3-2F1C-4FD3-9A87-30E1236C0FF6}" xr6:coauthVersionLast="43" xr6:coauthVersionMax="43" xr10:uidLastSave="{00000000-0000-0000-0000-000000000000}"/>
  <bookViews>
    <workbookView xWindow="28680" yWindow="-120" windowWidth="29040" windowHeight="15840" activeTab="1" xr2:uid="{00000000-000D-0000-FFFF-FFFF00000000}"/>
  </bookViews>
  <sheets>
    <sheet name="1" sheetId="94" r:id="rId1"/>
    <sheet name="2" sheetId="93" r:id="rId2"/>
  </sheets>
  <externalReferences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5" i="93" l="1"/>
  <c r="D25" i="93"/>
  <c r="E24" i="93"/>
  <c r="D24" i="93"/>
  <c r="E23" i="93"/>
  <c r="D23" i="93"/>
  <c r="E22" i="93"/>
  <c r="D22" i="93"/>
  <c r="E21" i="93"/>
  <c r="D21" i="93"/>
  <c r="E20" i="93"/>
  <c r="D20" i="93"/>
  <c r="E19" i="93"/>
  <c r="D19" i="93"/>
  <c r="E18" i="93"/>
  <c r="D18" i="93"/>
  <c r="E17" i="93"/>
  <c r="D17" i="93"/>
  <c r="E16" i="93"/>
  <c r="D16" i="93"/>
  <c r="E15" i="93"/>
  <c r="D15" i="93"/>
  <c r="E14" i="93"/>
  <c r="D14" i="93"/>
  <c r="E13" i="93"/>
  <c r="D13" i="93"/>
  <c r="E12" i="93"/>
  <c r="D12" i="93"/>
  <c r="E11" i="93"/>
  <c r="D11" i="93"/>
  <c r="E10" i="93"/>
  <c r="D10" i="93"/>
  <c r="E9" i="93"/>
  <c r="D9" i="93"/>
  <c r="E8" i="93"/>
  <c r="D8" i="93"/>
  <c r="E7" i="93"/>
  <c r="D7" i="93"/>
  <c r="E6" i="93"/>
  <c r="D6" i="93"/>
  <c r="E5" i="93"/>
  <c r="D5" i="93"/>
  <c r="E4" i="93"/>
  <c r="D4" i="93"/>
  <c r="E3" i="93"/>
  <c r="D3" i="93"/>
  <c r="E2" i="93"/>
  <c r="D2" i="93"/>
  <c r="A2" i="93"/>
  <c r="E25" i="94"/>
  <c r="D25" i="94"/>
  <c r="E24" i="94"/>
  <c r="D24" i="94"/>
  <c r="E23" i="94"/>
  <c r="D23" i="94"/>
  <c r="E22" i="94"/>
  <c r="D22" i="94"/>
  <c r="E21" i="94"/>
  <c r="D21" i="94"/>
  <c r="E20" i="94"/>
  <c r="D20" i="94"/>
  <c r="E19" i="94"/>
  <c r="D19" i="94"/>
  <c r="E18" i="94"/>
  <c r="D18" i="94"/>
  <c r="E17" i="94"/>
  <c r="D17" i="94"/>
  <c r="E16" i="94"/>
  <c r="D16" i="94"/>
  <c r="E15" i="94"/>
  <c r="D15" i="94"/>
  <c r="E14" i="94"/>
  <c r="D14" i="94"/>
  <c r="E13" i="94"/>
  <c r="D13" i="94"/>
  <c r="E12" i="94"/>
  <c r="D12" i="94"/>
  <c r="E11" i="94"/>
  <c r="D11" i="94"/>
  <c r="E10" i="94"/>
  <c r="D10" i="94"/>
  <c r="E9" i="94"/>
  <c r="D9" i="94"/>
  <c r="E8" i="94"/>
  <c r="D8" i="94"/>
  <c r="E7" i="94"/>
  <c r="D7" i="94"/>
  <c r="E6" i="94"/>
  <c r="D6" i="94"/>
  <c r="E5" i="94"/>
  <c r="D5" i="94"/>
  <c r="E4" i="94"/>
  <c r="D4" i="94"/>
  <c r="E3" i="94"/>
  <c r="D3" i="94"/>
  <c r="E2" i="94"/>
  <c r="D2" i="94"/>
  <c r="A2" i="94"/>
  <c r="F19" i="93" l="1"/>
  <c r="F18" i="93"/>
  <c r="F11" i="93"/>
  <c r="F10" i="93"/>
  <c r="F3" i="93"/>
  <c r="F2" i="93"/>
  <c r="F25" i="93"/>
  <c r="F24" i="93"/>
  <c r="F23" i="93"/>
  <c r="F22" i="93"/>
  <c r="F21" i="93"/>
  <c r="F20" i="93"/>
  <c r="F17" i="93"/>
  <c r="F16" i="93"/>
  <c r="F15" i="93"/>
  <c r="F14" i="93"/>
  <c r="F13" i="93"/>
  <c r="F12" i="93"/>
  <c r="F9" i="93"/>
  <c r="F8" i="93"/>
  <c r="F7" i="93"/>
  <c r="F6" i="93"/>
  <c r="F5" i="93"/>
  <c r="F4" i="93"/>
  <c r="A3" i="93"/>
  <c r="A4" i="93" s="1"/>
  <c r="A5" i="93" s="1"/>
  <c r="A6" i="93" s="1"/>
  <c r="A7" i="93" s="1"/>
  <c r="A8" i="93" s="1"/>
  <c r="A9" i="93" s="1"/>
  <c r="A10" i="93" s="1"/>
  <c r="A11" i="93" s="1"/>
  <c r="A12" i="93" s="1"/>
  <c r="A13" i="93" s="1"/>
  <c r="A14" i="93" s="1"/>
  <c r="A15" i="93" s="1"/>
  <c r="A16" i="93" s="1"/>
  <c r="A17" i="93" s="1"/>
  <c r="A18" i="93" s="1"/>
  <c r="A19" i="93" s="1"/>
  <c r="A20" i="93" s="1"/>
  <c r="A21" i="93" s="1"/>
  <c r="A22" i="93" s="1"/>
  <c r="A23" i="93" s="1"/>
  <c r="A24" i="93" s="1"/>
  <c r="A25" i="93" s="1"/>
  <c r="F25" i="94" l="1"/>
  <c r="F24" i="94"/>
  <c r="F23" i="94"/>
  <c r="F22" i="94"/>
  <c r="F21" i="94"/>
  <c r="F20" i="94"/>
  <c r="F19" i="94"/>
  <c r="F18" i="94"/>
  <c r="F17" i="94"/>
  <c r="F16" i="94"/>
  <c r="F15" i="94"/>
  <c r="F14" i="94"/>
  <c r="F13" i="94"/>
  <c r="F12" i="94"/>
  <c r="F11" i="94"/>
  <c r="F10" i="94"/>
  <c r="F9" i="94"/>
  <c r="F8" i="94"/>
  <c r="F7" i="94"/>
  <c r="F6" i="94"/>
  <c r="F5" i="94"/>
  <c r="F4" i="94"/>
  <c r="F3" i="94"/>
  <c r="F2" i="94"/>
  <c r="A3" i="94"/>
  <c r="A4" i="94" s="1"/>
  <c r="A5" i="94" s="1"/>
  <c r="A6" i="94" s="1"/>
  <c r="A7" i="94" s="1"/>
  <c r="A8" i="94" s="1"/>
  <c r="A9" i="94" s="1"/>
  <c r="A10" i="94" s="1"/>
  <c r="A11" i="94" s="1"/>
  <c r="A12" i="94" s="1"/>
  <c r="A13" i="94" s="1"/>
  <c r="A14" i="94" s="1"/>
  <c r="A15" i="94" s="1"/>
  <c r="A16" i="94" s="1"/>
  <c r="A17" i="94" s="1"/>
  <c r="A18" i="94" s="1"/>
  <c r="A19" i="94" s="1"/>
  <c r="A20" i="94" s="1"/>
  <c r="A21" i="94" s="1"/>
  <c r="A22" i="94" s="1"/>
  <c r="A23" i="94" s="1"/>
  <c r="A24" i="94" s="1"/>
  <c r="A25" i="94" s="1"/>
</calcChain>
</file>

<file path=xl/sharedStrings.xml><?xml version="1.0" encoding="utf-8"?>
<sst xmlns="http://schemas.openxmlformats.org/spreadsheetml/2006/main" count="12" uniqueCount="6">
  <si>
    <t>date</t>
  </si>
  <si>
    <t>from</t>
  </si>
  <si>
    <t>to</t>
  </si>
  <si>
    <t>total_pro_hour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</si>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</sst>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dd\-mmm\-yy"/>
    <numFmt numFmtId="165" formatCode="#,##0.0000000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43" fontId="0" fillId="0" borderId="0" xfId="0" applyNumberForma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P18REFCS03\Maynilad\PAT\PAT-2017-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Sheet1"/>
    </sheetNames>
    <sheetDataSet>
      <sheetData sheetId="0">
        <row r="7">
          <cell r="D7">
            <v>42767</v>
          </cell>
        </row>
        <row r="12">
          <cell r="V12">
            <v>0.505</v>
          </cell>
          <cell r="AJ12">
            <v>52</v>
          </cell>
        </row>
        <row r="13">
          <cell r="V13">
            <v>0.501</v>
          </cell>
          <cell r="AJ13">
            <v>51</v>
          </cell>
        </row>
        <row r="14">
          <cell r="V14">
            <v>0.51600000000000001</v>
          </cell>
          <cell r="AJ14">
            <v>50</v>
          </cell>
        </row>
        <row r="15">
          <cell r="V15">
            <v>0.57899999999999996</v>
          </cell>
          <cell r="AJ15">
            <v>56</v>
          </cell>
        </row>
        <row r="16">
          <cell r="V16">
            <v>0.76600000000000001</v>
          </cell>
          <cell r="AJ16">
            <v>102</v>
          </cell>
        </row>
        <row r="17">
          <cell r="V17">
            <v>1.175</v>
          </cell>
          <cell r="AJ17">
            <v>134</v>
          </cell>
        </row>
        <row r="18">
          <cell r="V18">
            <v>1.163</v>
          </cell>
          <cell r="AJ18">
            <v>143</v>
          </cell>
        </row>
        <row r="19">
          <cell r="V19">
            <v>0.92</v>
          </cell>
          <cell r="AJ19">
            <v>121</v>
          </cell>
        </row>
        <row r="20">
          <cell r="V20">
            <v>1.044</v>
          </cell>
          <cell r="AJ20">
            <v>129</v>
          </cell>
        </row>
        <row r="21">
          <cell r="V21">
            <v>0.997</v>
          </cell>
          <cell r="AJ21">
            <v>105</v>
          </cell>
        </row>
        <row r="22">
          <cell r="V22">
            <v>0.94299999999999995</v>
          </cell>
          <cell r="AJ22">
            <v>96</v>
          </cell>
        </row>
        <row r="23">
          <cell r="V23">
            <v>0.98499999999999999</v>
          </cell>
          <cell r="AJ23">
            <v>109</v>
          </cell>
        </row>
        <row r="24">
          <cell r="V24">
            <v>0.85499999999999998</v>
          </cell>
          <cell r="AJ24">
            <v>91</v>
          </cell>
        </row>
        <row r="25">
          <cell r="V25">
            <v>0.94799999999999995</v>
          </cell>
          <cell r="AJ25">
            <v>106</v>
          </cell>
        </row>
        <row r="26">
          <cell r="V26">
            <v>1.0029999999999999</v>
          </cell>
          <cell r="AJ26">
            <v>126</v>
          </cell>
        </row>
        <row r="27">
          <cell r="V27">
            <v>0.98599999999999999</v>
          </cell>
          <cell r="AJ27">
            <v>134</v>
          </cell>
        </row>
        <row r="28">
          <cell r="V28">
            <v>0.94</v>
          </cell>
          <cell r="AJ28">
            <v>147</v>
          </cell>
        </row>
        <row r="29">
          <cell r="V29">
            <v>1.018</v>
          </cell>
          <cell r="AJ29">
            <v>159</v>
          </cell>
        </row>
        <row r="30">
          <cell r="V30">
            <v>0.65200000000000002</v>
          </cell>
          <cell r="AJ30">
            <v>82</v>
          </cell>
        </row>
        <row r="31">
          <cell r="V31">
            <v>0.69</v>
          </cell>
          <cell r="AJ31">
            <v>69</v>
          </cell>
        </row>
        <row r="32">
          <cell r="V32">
            <v>0.77</v>
          </cell>
          <cell r="AJ32">
            <v>70</v>
          </cell>
        </row>
        <row r="33">
          <cell r="V33">
            <v>1.1419999999999999</v>
          </cell>
          <cell r="AJ33">
            <v>127</v>
          </cell>
        </row>
        <row r="34">
          <cell r="V34">
            <v>0.70899999999999996</v>
          </cell>
          <cell r="AJ34">
            <v>110</v>
          </cell>
        </row>
        <row r="35">
          <cell r="V35">
            <v>0.72399999999999998</v>
          </cell>
          <cell r="AJ35">
            <v>70</v>
          </cell>
        </row>
      </sheetData>
      <sheetData sheetId="1">
        <row r="7">
          <cell r="D7">
            <v>42768</v>
          </cell>
        </row>
        <row r="12">
          <cell r="V12">
            <v>0.52900000000000003</v>
          </cell>
          <cell r="AJ12">
            <v>48</v>
          </cell>
        </row>
        <row r="13">
          <cell r="V13">
            <v>0.51500000000000001</v>
          </cell>
          <cell r="AJ13">
            <v>49</v>
          </cell>
        </row>
        <row r="14">
          <cell r="V14">
            <v>0.502</v>
          </cell>
          <cell r="AJ14">
            <v>49</v>
          </cell>
        </row>
        <row r="15">
          <cell r="V15">
            <v>0.52800000000000002</v>
          </cell>
          <cell r="AJ15">
            <v>46</v>
          </cell>
        </row>
        <row r="16">
          <cell r="V16">
            <v>0.76700000000000002</v>
          </cell>
          <cell r="AJ16">
            <v>103</v>
          </cell>
        </row>
        <row r="17">
          <cell r="V17">
            <v>1.0329999999999999</v>
          </cell>
          <cell r="AJ17">
            <v>164</v>
          </cell>
        </row>
        <row r="18">
          <cell r="V18">
            <v>1.075</v>
          </cell>
          <cell r="AJ18">
            <v>176</v>
          </cell>
        </row>
        <row r="19">
          <cell r="V19">
            <v>1.0629999999999999</v>
          </cell>
          <cell r="AJ19">
            <v>164</v>
          </cell>
        </row>
        <row r="20">
          <cell r="V20">
            <v>1.069</v>
          </cell>
          <cell r="AJ20">
            <v>137</v>
          </cell>
        </row>
        <row r="21">
          <cell r="V21">
            <v>1.1539999999999999</v>
          </cell>
          <cell r="AJ21">
            <v>116</v>
          </cell>
        </row>
        <row r="22">
          <cell r="V22">
            <v>1.1519999999999999</v>
          </cell>
          <cell r="AJ22">
            <v>114</v>
          </cell>
        </row>
        <row r="23">
          <cell r="V23">
            <v>0.98299999999999998</v>
          </cell>
          <cell r="AJ23">
            <v>111</v>
          </cell>
        </row>
        <row r="24">
          <cell r="V24">
            <v>0.99099999999999999</v>
          </cell>
          <cell r="AJ24">
            <v>122</v>
          </cell>
        </row>
        <row r="25">
          <cell r="V25">
            <v>1.0149999999999999</v>
          </cell>
          <cell r="AJ25">
            <v>158</v>
          </cell>
        </row>
        <row r="26">
          <cell r="V26">
            <v>0.88600000000000001</v>
          </cell>
          <cell r="AJ26">
            <v>128</v>
          </cell>
        </row>
        <row r="27">
          <cell r="V27">
            <v>0.93400000000000005</v>
          </cell>
          <cell r="AJ27">
            <v>117</v>
          </cell>
        </row>
        <row r="28">
          <cell r="V28">
            <v>0.90300000000000002</v>
          </cell>
          <cell r="AJ28">
            <v>119</v>
          </cell>
        </row>
        <row r="29">
          <cell r="V29">
            <v>1.012</v>
          </cell>
          <cell r="AJ29">
            <v>139</v>
          </cell>
        </row>
        <row r="30">
          <cell r="V30">
            <v>0.88</v>
          </cell>
          <cell r="AJ30">
            <v>141</v>
          </cell>
        </row>
        <row r="31">
          <cell r="V31">
            <v>0.97599999999999998</v>
          </cell>
          <cell r="AJ31">
            <v>153</v>
          </cell>
        </row>
        <row r="32">
          <cell r="V32">
            <v>0.81399999999999995</v>
          </cell>
          <cell r="AJ32">
            <v>144</v>
          </cell>
        </row>
        <row r="33">
          <cell r="V33">
            <v>1.012</v>
          </cell>
          <cell r="AJ33">
            <v>137</v>
          </cell>
        </row>
        <row r="34">
          <cell r="V34">
            <v>0.68200000000000005</v>
          </cell>
          <cell r="AJ34">
            <v>84</v>
          </cell>
        </row>
        <row r="35">
          <cell r="V35">
            <v>0.61099999999999999</v>
          </cell>
          <cell r="AJ35">
            <v>57</v>
          </cell>
        </row>
      </sheetData>
      <sheetData sheetId="2">
        <row r="7">
          <cell r="D7">
            <v>42769</v>
          </cell>
        </row>
      </sheetData>
      <sheetData sheetId="3">
        <row r="7">
          <cell r="D7">
            <v>42770</v>
          </cell>
        </row>
      </sheetData>
      <sheetData sheetId="4">
        <row r="7">
          <cell r="D7">
            <v>42771</v>
          </cell>
        </row>
      </sheetData>
      <sheetData sheetId="5">
        <row r="7">
          <cell r="D7">
            <v>42772</v>
          </cell>
        </row>
      </sheetData>
      <sheetData sheetId="6">
        <row r="7">
          <cell r="D7">
            <v>42773</v>
          </cell>
        </row>
      </sheetData>
      <sheetData sheetId="7">
        <row r="7">
          <cell r="D7">
            <v>42774</v>
          </cell>
        </row>
      </sheetData>
      <sheetData sheetId="8">
        <row r="7">
          <cell r="D7">
            <v>42775</v>
          </cell>
        </row>
      </sheetData>
      <sheetData sheetId="9">
        <row r="7">
          <cell r="D7">
            <v>42776</v>
          </cell>
        </row>
      </sheetData>
      <sheetData sheetId="10">
        <row r="7">
          <cell r="D7">
            <v>42777</v>
          </cell>
        </row>
      </sheetData>
      <sheetData sheetId="11">
        <row r="7">
          <cell r="D7">
            <v>42778</v>
          </cell>
        </row>
      </sheetData>
      <sheetData sheetId="12">
        <row r="7">
          <cell r="D7">
            <v>42779</v>
          </cell>
        </row>
      </sheetData>
      <sheetData sheetId="13">
        <row r="7">
          <cell r="D7">
            <v>42780</v>
          </cell>
        </row>
      </sheetData>
      <sheetData sheetId="14">
        <row r="7">
          <cell r="D7">
            <v>42781</v>
          </cell>
        </row>
      </sheetData>
      <sheetData sheetId="15">
        <row r="7">
          <cell r="D7">
            <v>42782</v>
          </cell>
        </row>
      </sheetData>
      <sheetData sheetId="16">
        <row r="7">
          <cell r="D7">
            <v>42783</v>
          </cell>
        </row>
      </sheetData>
      <sheetData sheetId="17">
        <row r="7">
          <cell r="D7">
            <v>42784</v>
          </cell>
        </row>
      </sheetData>
      <sheetData sheetId="18">
        <row r="7">
          <cell r="D7">
            <v>42785</v>
          </cell>
        </row>
      </sheetData>
      <sheetData sheetId="19">
        <row r="7">
          <cell r="D7">
            <v>42786</v>
          </cell>
        </row>
      </sheetData>
      <sheetData sheetId="20">
        <row r="7">
          <cell r="D7">
            <v>42787</v>
          </cell>
        </row>
      </sheetData>
      <sheetData sheetId="21">
        <row r="7">
          <cell r="D7">
            <v>42788</v>
          </cell>
        </row>
      </sheetData>
      <sheetData sheetId="22">
        <row r="7">
          <cell r="D7">
            <v>42789</v>
          </cell>
        </row>
      </sheetData>
      <sheetData sheetId="23">
        <row r="7">
          <cell r="D7">
            <v>42790</v>
          </cell>
        </row>
      </sheetData>
      <sheetData sheetId="24">
        <row r="7">
          <cell r="D7">
            <v>42791</v>
          </cell>
        </row>
      </sheetData>
      <sheetData sheetId="25">
        <row r="7">
          <cell r="D7">
            <v>42792</v>
          </cell>
        </row>
      </sheetData>
      <sheetData sheetId="26">
        <row r="7">
          <cell r="D7">
            <v>42793</v>
          </cell>
        </row>
      </sheetData>
      <sheetData sheetId="27">
        <row r="7">
          <cell r="D7">
            <v>42794</v>
          </cell>
        </row>
      </sheetData>
      <sheetData sheetId="28"/>
      <sheetData sheetId="29"/>
      <sheetData sheetId="30"/>
      <sheetData sheetId="3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1A190-FA19-41A3-991B-53B8943A5AB8}">
  <sheetPr codeName="Sheet60"/>
  <dimension ref="A1:F25"/>
  <sheetViews>
    <sheetView zoomScale="55" zoomScaleNormal="55" workbookViewId="0">
      <selection activeCell="A2" sqref="A2"/>
    </sheetView>
  </sheetViews>
  <sheetFormatPr defaultRowHeight="14.5" x14ac:dyDescent="0.35"/>
  <cols>
    <col min="1" max="1" width="10.36328125" bestFit="1" customWidth="1"/>
    <col min="2" max="2" width="9.453125" bestFit="1" customWidth="1"/>
    <col min="4" max="4" width="14.1796875" bestFit="1" customWidth="1"/>
    <col min="5" max="5" width="17.453125" bestFit="1" customWidth="1"/>
    <col min="6" max="6" width="11.453125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s="3">
        <f>'[1]1'!$D$7:$D$7</f>
        <v>42767</v>
      </c>
      <c r="B2" s="1">
        <v>2</v>
      </c>
      <c r="C2" s="1">
        <v>4.1666666666666664E-2</v>
      </c>
      <c r="D2" s="4">
        <f>'[1]1'!V12</f>
        <v>0.505</v>
      </c>
      <c r="E2" s="5">
        <f>'[1]1'!AJ12</f>
        <v>52</v>
      </c>
      <c r="F2" s="2">
        <f>IF(D2=0,0,E2/D2)</f>
        <v>102.97029702970298</v>
      </c>
    </row>
    <row r="3" spans="1:6" x14ac:dyDescent="0.35">
      <c r="A3" s="3">
        <f>A2</f>
        <v>42767</v>
      </c>
      <c r="B3" s="1">
        <v>2.0416666666666701</v>
      </c>
      <c r="C3" s="1">
        <v>8.3333333333333329E-2</v>
      </c>
      <c r="D3" s="4">
        <f>'[1]1'!V13</f>
        <v>0.501</v>
      </c>
      <c r="E3" s="5">
        <f>'[1]1'!AJ13</f>
        <v>51</v>
      </c>
      <c r="F3" s="2">
        <f t="shared" ref="F3:F25" si="0">IF(D3=0,0,E3/D3)</f>
        <v>101.79640718562874</v>
      </c>
    </row>
    <row r="4" spans="1:6" x14ac:dyDescent="0.35">
      <c r="A4" s="3">
        <f t="shared" ref="A4:A25" si="1">A3</f>
        <v>42767</v>
      </c>
      <c r="B4" s="1">
        <v>2.0833333333333299</v>
      </c>
      <c r="C4" s="1">
        <v>0.125</v>
      </c>
      <c r="D4" s="4">
        <f>'[1]1'!V14</f>
        <v>0.51600000000000001</v>
      </c>
      <c r="E4" s="5">
        <f>'[1]1'!AJ14</f>
        <v>50</v>
      </c>
      <c r="F4" s="2">
        <f t="shared" si="0"/>
        <v>96.899224806201545</v>
      </c>
    </row>
    <row r="5" spans="1:6" x14ac:dyDescent="0.35">
      <c r="A5" s="3">
        <f t="shared" si="1"/>
        <v>42767</v>
      </c>
      <c r="B5" s="1">
        <v>2.125</v>
      </c>
      <c r="C5" s="1">
        <v>0.16666666666666699</v>
      </c>
      <c r="D5" s="4">
        <f>'[1]1'!V15</f>
        <v>0.57899999999999996</v>
      </c>
      <c r="E5" s="5">
        <f>'[1]1'!AJ15</f>
        <v>56</v>
      </c>
      <c r="F5" s="2">
        <f t="shared" si="0"/>
        <v>96.718480138169269</v>
      </c>
    </row>
    <row r="6" spans="1:6" x14ac:dyDescent="0.35">
      <c r="A6" s="3">
        <f t="shared" si="1"/>
        <v>42767</v>
      </c>
      <c r="B6" s="1">
        <v>2.1666666666666701</v>
      </c>
      <c r="C6" s="1">
        <v>0.20833333333333301</v>
      </c>
      <c r="D6" s="4">
        <f>'[1]1'!V16</f>
        <v>0.76600000000000001</v>
      </c>
      <c r="E6" s="5">
        <f>'[1]1'!AJ16</f>
        <v>102</v>
      </c>
      <c r="F6" s="2">
        <f t="shared" si="0"/>
        <v>133.15926892950392</v>
      </c>
    </row>
    <row r="7" spans="1:6" x14ac:dyDescent="0.35">
      <c r="A7" s="3">
        <f t="shared" si="1"/>
        <v>42767</v>
      </c>
      <c r="B7" s="1">
        <v>2.2083333333333299</v>
      </c>
      <c r="C7" s="1">
        <v>0.25</v>
      </c>
      <c r="D7" s="4">
        <f>'[1]1'!V17</f>
        <v>1.175</v>
      </c>
      <c r="E7" s="5">
        <f>'[1]1'!AJ17</f>
        <v>134</v>
      </c>
      <c r="F7" s="2">
        <f t="shared" si="0"/>
        <v>114.04255319148936</v>
      </c>
    </row>
    <row r="8" spans="1:6" x14ac:dyDescent="0.35">
      <c r="A8" s="3">
        <f t="shared" si="1"/>
        <v>42767</v>
      </c>
      <c r="B8" s="1">
        <v>2.25</v>
      </c>
      <c r="C8" s="1">
        <v>0.29166666666666702</v>
      </c>
      <c r="D8" s="4">
        <f>'[1]1'!V18</f>
        <v>1.163</v>
      </c>
      <c r="E8" s="5">
        <f>'[1]1'!AJ18</f>
        <v>143</v>
      </c>
      <c r="F8" s="2">
        <f t="shared" si="0"/>
        <v>122.95786758383491</v>
      </c>
    </row>
    <row r="9" spans="1:6" x14ac:dyDescent="0.35">
      <c r="A9" s="3">
        <f t="shared" si="1"/>
        <v>42767</v>
      </c>
      <c r="B9" s="1">
        <v>2.2916666666666701</v>
      </c>
      <c r="C9" s="1">
        <v>0.33333333333333298</v>
      </c>
      <c r="D9" s="4">
        <f>'[1]1'!V19</f>
        <v>0.92</v>
      </c>
      <c r="E9" s="5">
        <f>'[1]1'!AJ19</f>
        <v>121</v>
      </c>
      <c r="F9" s="2">
        <f t="shared" si="0"/>
        <v>131.52173913043478</v>
      </c>
    </row>
    <row r="10" spans="1:6" x14ac:dyDescent="0.35">
      <c r="A10" s="3">
        <f t="shared" si="1"/>
        <v>42767</v>
      </c>
      <c r="B10" s="1">
        <v>2.3333333333333299</v>
      </c>
      <c r="C10" s="1">
        <v>0.375</v>
      </c>
      <c r="D10" s="4">
        <f>'[1]1'!V20</f>
        <v>1.044</v>
      </c>
      <c r="E10" s="5">
        <f>'[1]1'!AJ20</f>
        <v>129</v>
      </c>
      <c r="F10" s="2">
        <f t="shared" si="0"/>
        <v>123.56321839080459</v>
      </c>
    </row>
    <row r="11" spans="1:6" x14ac:dyDescent="0.35">
      <c r="A11" s="3">
        <f t="shared" si="1"/>
        <v>42767</v>
      </c>
      <c r="B11" s="1">
        <v>2.375</v>
      </c>
      <c r="C11" s="1">
        <v>0.41666666666666669</v>
      </c>
      <c r="D11" s="4">
        <f>'[1]1'!V21</f>
        <v>0.997</v>
      </c>
      <c r="E11" s="5">
        <f>'[1]1'!AJ21</f>
        <v>105</v>
      </c>
      <c r="F11" s="2">
        <f t="shared" si="0"/>
        <v>105.31594784353059</v>
      </c>
    </row>
    <row r="12" spans="1:6" x14ac:dyDescent="0.35">
      <c r="A12" s="3">
        <f t="shared" si="1"/>
        <v>42767</v>
      </c>
      <c r="B12" s="1">
        <v>2.4166666666666701</v>
      </c>
      <c r="C12" s="1">
        <v>0.45833333333333298</v>
      </c>
      <c r="D12" s="4">
        <f>'[1]1'!V22</f>
        <v>0.94299999999999995</v>
      </c>
      <c r="E12" s="5">
        <f>'[1]1'!AJ22</f>
        <v>96</v>
      </c>
      <c r="F12" s="2">
        <f t="shared" si="0"/>
        <v>101.80275715800637</v>
      </c>
    </row>
    <row r="13" spans="1:6" x14ac:dyDescent="0.35">
      <c r="A13" s="3">
        <f t="shared" si="1"/>
        <v>42767</v>
      </c>
      <c r="B13" s="1">
        <v>2.4583333333333299</v>
      </c>
      <c r="C13" s="1">
        <v>0.5</v>
      </c>
      <c r="D13" s="4">
        <f>'[1]1'!V23</f>
        <v>0.98499999999999999</v>
      </c>
      <c r="E13" s="5">
        <f>'[1]1'!AJ23</f>
        <v>109</v>
      </c>
      <c r="F13" s="2">
        <f t="shared" si="0"/>
        <v>110.65989847715736</v>
      </c>
    </row>
    <row r="14" spans="1:6" x14ac:dyDescent="0.35">
      <c r="A14" s="3">
        <f t="shared" si="1"/>
        <v>42767</v>
      </c>
      <c r="B14" s="1">
        <v>2.5</v>
      </c>
      <c r="C14" s="1">
        <v>0.54166666666666696</v>
      </c>
      <c r="D14" s="4">
        <f>'[1]1'!V24</f>
        <v>0.85499999999999998</v>
      </c>
      <c r="E14" s="5">
        <f>'[1]1'!AJ24</f>
        <v>91</v>
      </c>
      <c r="F14" s="2">
        <f t="shared" si="0"/>
        <v>106.43274853801169</v>
      </c>
    </row>
    <row r="15" spans="1:6" x14ac:dyDescent="0.35">
      <c r="A15" s="3">
        <f t="shared" si="1"/>
        <v>42767</v>
      </c>
      <c r="B15" s="1">
        <v>2.5416666666666701</v>
      </c>
      <c r="C15" s="1">
        <v>0.58333333333333404</v>
      </c>
      <c r="D15" s="4">
        <f>'[1]1'!V25</f>
        <v>0.94799999999999995</v>
      </c>
      <c r="E15" s="5">
        <f>'[1]1'!AJ25</f>
        <v>106</v>
      </c>
      <c r="F15" s="2">
        <f t="shared" si="0"/>
        <v>111.81434599156118</v>
      </c>
    </row>
    <row r="16" spans="1:6" x14ac:dyDescent="0.35">
      <c r="A16" s="3">
        <f t="shared" si="1"/>
        <v>42767</v>
      </c>
      <c r="B16" s="1">
        <v>2.5833333333333299</v>
      </c>
      <c r="C16" s="1">
        <v>0.625</v>
      </c>
      <c r="D16" s="4">
        <f>'[1]1'!V26</f>
        <v>1.0029999999999999</v>
      </c>
      <c r="E16" s="5">
        <f>'[1]1'!AJ26</f>
        <v>126</v>
      </c>
      <c r="F16" s="2">
        <f t="shared" si="0"/>
        <v>125.62313060817549</v>
      </c>
    </row>
    <row r="17" spans="1:6" x14ac:dyDescent="0.35">
      <c r="A17" s="3">
        <f t="shared" si="1"/>
        <v>42767</v>
      </c>
      <c r="B17" s="1">
        <v>2.625</v>
      </c>
      <c r="C17" s="1">
        <v>0.66666666666666696</v>
      </c>
      <c r="D17" s="4">
        <f>'[1]1'!V27</f>
        <v>0.98599999999999999</v>
      </c>
      <c r="E17" s="5">
        <f>'[1]1'!AJ27</f>
        <v>134</v>
      </c>
      <c r="F17" s="2">
        <f t="shared" si="0"/>
        <v>135.90263691683569</v>
      </c>
    </row>
    <row r="18" spans="1:6" x14ac:dyDescent="0.35">
      <c r="A18" s="3">
        <f t="shared" si="1"/>
        <v>42767</v>
      </c>
      <c r="B18" s="1">
        <v>2.6666666666666701</v>
      </c>
      <c r="C18" s="1">
        <v>0.70833333333333404</v>
      </c>
      <c r="D18" s="4">
        <f>'[1]1'!V28</f>
        <v>0.94</v>
      </c>
      <c r="E18" s="5">
        <f>'[1]1'!AJ28</f>
        <v>147</v>
      </c>
      <c r="F18" s="2">
        <f t="shared" si="0"/>
        <v>156.38297872340428</v>
      </c>
    </row>
    <row r="19" spans="1:6" x14ac:dyDescent="0.35">
      <c r="A19" s="3">
        <f t="shared" si="1"/>
        <v>42767</v>
      </c>
      <c r="B19" s="1">
        <v>2.7083333333333299</v>
      </c>
      <c r="C19" s="1">
        <v>0.750000000000002</v>
      </c>
      <c r="D19" s="4">
        <f>'[1]1'!V29</f>
        <v>1.018</v>
      </c>
      <c r="E19" s="5">
        <f>'[1]1'!AJ29</f>
        <v>159</v>
      </c>
      <c r="F19" s="2">
        <f t="shared" si="0"/>
        <v>156.18860510805501</v>
      </c>
    </row>
    <row r="20" spans="1:6" x14ac:dyDescent="0.35">
      <c r="A20" s="3">
        <f t="shared" si="1"/>
        <v>42767</v>
      </c>
      <c r="B20" s="1">
        <v>2.75</v>
      </c>
      <c r="C20" s="1">
        <v>0.79166666666666896</v>
      </c>
      <c r="D20" s="4">
        <f>'[1]1'!V30</f>
        <v>0.65200000000000002</v>
      </c>
      <c r="E20" s="5">
        <f>'[1]1'!AJ30</f>
        <v>82</v>
      </c>
      <c r="F20" s="2">
        <f t="shared" si="0"/>
        <v>125.76687116564416</v>
      </c>
    </row>
    <row r="21" spans="1:6" x14ac:dyDescent="0.35">
      <c r="A21" s="3">
        <f t="shared" si="1"/>
        <v>42767</v>
      </c>
      <c r="B21" s="1">
        <v>2.7916666666666701</v>
      </c>
      <c r="C21" s="1">
        <v>0.83333333333333703</v>
      </c>
      <c r="D21" s="4">
        <f>'[1]1'!V31</f>
        <v>0.69</v>
      </c>
      <c r="E21" s="5">
        <f>'[1]1'!AJ31</f>
        <v>69</v>
      </c>
      <c r="F21" s="2">
        <f t="shared" si="0"/>
        <v>100.00000000000001</v>
      </c>
    </row>
    <row r="22" spans="1:6" x14ac:dyDescent="0.35">
      <c r="A22" s="3">
        <f t="shared" si="1"/>
        <v>42767</v>
      </c>
      <c r="B22" s="1">
        <v>2.8333333333333299</v>
      </c>
      <c r="C22" s="1">
        <v>0.875000000000004</v>
      </c>
      <c r="D22" s="4">
        <f>'[1]1'!V32</f>
        <v>0.77</v>
      </c>
      <c r="E22" s="5">
        <f>'[1]1'!AJ32</f>
        <v>70</v>
      </c>
      <c r="F22" s="2">
        <f t="shared" si="0"/>
        <v>90.909090909090907</v>
      </c>
    </row>
    <row r="23" spans="1:6" x14ac:dyDescent="0.35">
      <c r="A23" s="3">
        <f t="shared" si="1"/>
        <v>42767</v>
      </c>
      <c r="B23" s="1">
        <v>2.875</v>
      </c>
      <c r="C23" s="1">
        <v>0.91666666666667096</v>
      </c>
      <c r="D23" s="4">
        <f>'[1]1'!V33</f>
        <v>1.1419999999999999</v>
      </c>
      <c r="E23" s="5">
        <f>'[1]1'!AJ33</f>
        <v>127</v>
      </c>
      <c r="F23" s="2">
        <f t="shared" si="0"/>
        <v>111.20840630472856</v>
      </c>
    </row>
    <row r="24" spans="1:6" x14ac:dyDescent="0.35">
      <c r="A24" s="3">
        <f t="shared" si="1"/>
        <v>42767</v>
      </c>
      <c r="B24" s="1">
        <v>2.9166666666666701</v>
      </c>
      <c r="C24" s="1">
        <v>0.95833333333333803</v>
      </c>
      <c r="D24" s="4">
        <f>'[1]1'!V34</f>
        <v>0.70899999999999996</v>
      </c>
      <c r="E24" s="5">
        <f>'[1]1'!AJ34</f>
        <v>110</v>
      </c>
      <c r="F24" s="2">
        <f t="shared" si="0"/>
        <v>155.14809590973204</v>
      </c>
    </row>
    <row r="25" spans="1:6" x14ac:dyDescent="0.35">
      <c r="A25" s="3">
        <f t="shared" si="1"/>
        <v>42767</v>
      </c>
      <c r="B25" s="1">
        <v>2.9583333333333299</v>
      </c>
      <c r="C25" s="1">
        <v>1</v>
      </c>
      <c r="D25" s="4">
        <f>'[1]1'!V35</f>
        <v>0.72399999999999998</v>
      </c>
      <c r="E25" s="5">
        <f>'[1]1'!AJ35</f>
        <v>70</v>
      </c>
      <c r="F25" s="2">
        <f t="shared" si="0"/>
        <v>96.685082872928177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C1078-9C0B-4B43-AFE8-2882AA39C1A9}">
  <sheetPr codeName="Sheet59"/>
  <dimension ref="A1:F25"/>
  <sheetViews>
    <sheetView tabSelected="1" zoomScale="70" zoomScaleNormal="70" workbookViewId="0">
      <selection activeCell="J28" sqref="J28"/>
    </sheetView>
  </sheetViews>
  <sheetFormatPr defaultRowHeight="14.5" x14ac:dyDescent="0.35"/>
  <cols>
    <col min="1" max="1" width="11" bestFit="1" customWidth="1"/>
    <col min="2" max="2" width="9.453125" bestFit="1" customWidth="1"/>
    <col min="4" max="4" width="14.1796875" bestFit="1" customWidth="1"/>
    <col min="6" max="6" width="11.453125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s="3">
        <f>'[1]2'!$D$7:$D$7</f>
        <v>42768</v>
      </c>
      <c r="B2" s="1">
        <v>2</v>
      </c>
      <c r="C2" s="1">
        <v>4.1666666666666664E-2</v>
      </c>
      <c r="D2" s="4">
        <f>'[1]2'!V12</f>
        <v>0.52900000000000003</v>
      </c>
      <c r="E2" s="5">
        <f>'[1]2'!AJ12</f>
        <v>48</v>
      </c>
      <c r="F2" s="2">
        <f>IF(D2=0,0,E2/D2)</f>
        <v>90.737240075614366</v>
      </c>
    </row>
    <row r="3" spans="1:6" x14ac:dyDescent="0.35">
      <c r="A3" s="3">
        <f>A2</f>
        <v>42768</v>
      </c>
      <c r="B3" s="1">
        <v>2.0416666666666701</v>
      </c>
      <c r="C3" s="1">
        <v>8.3333333333333329E-2</v>
      </c>
      <c r="D3" s="4">
        <f>'[1]2'!V13</f>
        <v>0.51500000000000001</v>
      </c>
      <c r="E3" s="5">
        <f>'[1]2'!AJ13</f>
        <v>49</v>
      </c>
      <c r="F3" s="2">
        <f t="shared" ref="F3:F25" si="0">IF(D3=0,0,E3/D3)</f>
        <v>95.145631067961162</v>
      </c>
    </row>
    <row r="4" spans="1:6" x14ac:dyDescent="0.35">
      <c r="A4" s="3">
        <f t="shared" ref="A4:A25" si="1">A3</f>
        <v>42768</v>
      </c>
      <c r="B4" s="1">
        <v>2.0833333333333299</v>
      </c>
      <c r="C4" s="1">
        <v>0.125</v>
      </c>
      <c r="D4" s="4">
        <f>'[1]2'!V14</f>
        <v>0.502</v>
      </c>
      <c r="E4" s="5">
        <f>'[1]2'!AJ14</f>
        <v>49</v>
      </c>
      <c r="F4" s="2">
        <f t="shared" si="0"/>
        <v>97.609561752988043</v>
      </c>
    </row>
    <row r="5" spans="1:6" x14ac:dyDescent="0.35">
      <c r="A5" s="3">
        <f t="shared" si="1"/>
        <v>42768</v>
      </c>
      <c r="B5" s="1">
        <v>2.125</v>
      </c>
      <c r="C5" s="1">
        <v>0.16666666666666699</v>
      </c>
      <c r="D5" s="4">
        <f>'[1]2'!V15</f>
        <v>0.52800000000000002</v>
      </c>
      <c r="E5" s="5">
        <f>'[1]2'!AJ15</f>
        <v>46</v>
      </c>
      <c r="F5" s="2">
        <f t="shared" si="0"/>
        <v>87.12121212121211</v>
      </c>
    </row>
    <row r="6" spans="1:6" x14ac:dyDescent="0.35">
      <c r="A6" s="3">
        <f t="shared" si="1"/>
        <v>42768</v>
      </c>
      <c r="B6" s="1">
        <v>2.1666666666666701</v>
      </c>
      <c r="C6" s="1">
        <v>0.20833333333333301</v>
      </c>
      <c r="D6" s="4">
        <f>'[1]2'!V16</f>
        <v>0.76700000000000002</v>
      </c>
      <c r="E6" s="5">
        <f>'[1]2'!AJ16</f>
        <v>103</v>
      </c>
      <c r="F6" s="2">
        <f t="shared" si="0"/>
        <v>134.28943937418512</v>
      </c>
    </row>
    <row r="7" spans="1:6" x14ac:dyDescent="0.35">
      <c r="A7" s="3">
        <f t="shared" si="1"/>
        <v>42768</v>
      </c>
      <c r="B7" s="1">
        <v>2.2083333333333299</v>
      </c>
      <c r="C7" s="1">
        <v>0.25</v>
      </c>
      <c r="D7" s="4">
        <f>'[1]2'!V17</f>
        <v>1.0329999999999999</v>
      </c>
      <c r="E7" s="5">
        <f>'[1]2'!AJ17</f>
        <v>164</v>
      </c>
      <c r="F7" s="2">
        <f t="shared" si="0"/>
        <v>158.76089060987417</v>
      </c>
    </row>
    <row r="8" spans="1:6" x14ac:dyDescent="0.35">
      <c r="A8" s="3">
        <f t="shared" si="1"/>
        <v>42768</v>
      </c>
      <c r="B8" s="1">
        <v>2.25</v>
      </c>
      <c r="C8" s="1">
        <v>0.29166666666666702</v>
      </c>
      <c r="D8" s="4">
        <f>'[1]2'!V18</f>
        <v>1.075</v>
      </c>
      <c r="E8" s="5">
        <f>'[1]2'!AJ18</f>
        <v>176</v>
      </c>
      <c r="F8" s="2">
        <f t="shared" si="0"/>
        <v>163.72093023255815</v>
      </c>
    </row>
    <row r="9" spans="1:6" x14ac:dyDescent="0.35">
      <c r="A9" s="3">
        <f t="shared" si="1"/>
        <v>42768</v>
      </c>
      <c r="B9" s="1">
        <v>2.2916666666666701</v>
      </c>
      <c r="C9" s="1">
        <v>0.33333333333333298</v>
      </c>
      <c r="D9" s="4">
        <f>'[1]2'!V19</f>
        <v>1.0629999999999999</v>
      </c>
      <c r="E9" s="5">
        <f>'[1]2'!AJ19</f>
        <v>164</v>
      </c>
      <c r="F9" s="2">
        <f t="shared" si="0"/>
        <v>154.28033866415805</v>
      </c>
    </row>
    <row r="10" spans="1:6" x14ac:dyDescent="0.35">
      <c r="A10" s="3">
        <f t="shared" si="1"/>
        <v>42768</v>
      </c>
      <c r="B10" s="1">
        <v>2.3333333333333299</v>
      </c>
      <c r="C10" s="1">
        <v>0.375</v>
      </c>
      <c r="D10" s="4">
        <f>'[1]2'!V20</f>
        <v>1.069</v>
      </c>
      <c r="E10" s="5">
        <f>'[1]2'!AJ20</f>
        <v>137</v>
      </c>
      <c r="F10" s="2">
        <f t="shared" si="0"/>
        <v>128.15715622076706</v>
      </c>
    </row>
    <row r="11" spans="1:6" x14ac:dyDescent="0.35">
      <c r="A11" s="3">
        <f t="shared" si="1"/>
        <v>42768</v>
      </c>
      <c r="B11" s="1">
        <v>2.375</v>
      </c>
      <c r="C11" s="1">
        <v>0.41666666666666669</v>
      </c>
      <c r="D11" s="4">
        <f>'[1]2'!V21</f>
        <v>1.1539999999999999</v>
      </c>
      <c r="E11" s="5">
        <f>'[1]2'!AJ21</f>
        <v>116</v>
      </c>
      <c r="F11" s="2">
        <f t="shared" si="0"/>
        <v>100.51993067590989</v>
      </c>
    </row>
    <row r="12" spans="1:6" x14ac:dyDescent="0.35">
      <c r="A12" s="3">
        <f t="shared" si="1"/>
        <v>42768</v>
      </c>
      <c r="B12" s="1">
        <v>2.4166666666666701</v>
      </c>
      <c r="C12" s="1">
        <v>0.45833333333333298</v>
      </c>
      <c r="D12" s="4">
        <f>'[1]2'!V22</f>
        <v>1.1519999999999999</v>
      </c>
      <c r="E12" s="5">
        <f>'[1]2'!AJ22</f>
        <v>114</v>
      </c>
      <c r="F12" s="2">
        <f t="shared" si="0"/>
        <v>98.958333333333343</v>
      </c>
    </row>
    <row r="13" spans="1:6" x14ac:dyDescent="0.35">
      <c r="A13" s="3">
        <f t="shared" si="1"/>
        <v>42768</v>
      </c>
      <c r="B13" s="1">
        <v>2.4583333333333299</v>
      </c>
      <c r="C13" s="1">
        <v>0.5</v>
      </c>
      <c r="D13" s="4">
        <f>'[1]2'!V23</f>
        <v>0.98299999999999998</v>
      </c>
      <c r="E13" s="5">
        <f>'[1]2'!AJ23</f>
        <v>111</v>
      </c>
      <c r="F13" s="2">
        <f t="shared" si="0"/>
        <v>112.91963377416073</v>
      </c>
    </row>
    <row r="14" spans="1:6" x14ac:dyDescent="0.35">
      <c r="A14" s="3">
        <f t="shared" si="1"/>
        <v>42768</v>
      </c>
      <c r="B14" s="1">
        <v>2.5</v>
      </c>
      <c r="C14" s="1">
        <v>0.54166666666666696</v>
      </c>
      <c r="D14" s="4">
        <f>'[1]2'!V24</f>
        <v>0.99099999999999999</v>
      </c>
      <c r="E14" s="5">
        <f>'[1]2'!AJ24</f>
        <v>122</v>
      </c>
      <c r="F14" s="2">
        <f t="shared" si="0"/>
        <v>123.10797174571141</v>
      </c>
    </row>
    <row r="15" spans="1:6" x14ac:dyDescent="0.35">
      <c r="A15" s="3">
        <f t="shared" si="1"/>
        <v>42768</v>
      </c>
      <c r="B15" s="1">
        <v>2.5416666666666701</v>
      </c>
      <c r="C15" s="1">
        <v>0.58333333333333404</v>
      </c>
      <c r="D15" s="4">
        <f>'[1]2'!V25</f>
        <v>1.0149999999999999</v>
      </c>
      <c r="E15" s="5">
        <f>'[1]2'!AJ25</f>
        <v>158</v>
      </c>
      <c r="F15" s="2">
        <f t="shared" si="0"/>
        <v>155.66502463054189</v>
      </c>
    </row>
    <row r="16" spans="1:6" x14ac:dyDescent="0.35">
      <c r="A16" s="3">
        <f t="shared" si="1"/>
        <v>42768</v>
      </c>
      <c r="B16" s="1">
        <v>2.5833333333333299</v>
      </c>
      <c r="C16" s="1">
        <v>0.625</v>
      </c>
      <c r="D16" s="4">
        <f>'[1]2'!V26</f>
        <v>0.88600000000000001</v>
      </c>
      <c r="E16" s="5">
        <f>'[1]2'!AJ26</f>
        <v>128</v>
      </c>
      <c r="F16" s="2">
        <f t="shared" si="0"/>
        <v>144.46952595936796</v>
      </c>
    </row>
    <row r="17" spans="1:6" x14ac:dyDescent="0.35">
      <c r="A17" s="3">
        <f t="shared" si="1"/>
        <v>42768</v>
      </c>
      <c r="B17" s="1">
        <v>2.625</v>
      </c>
      <c r="C17" s="1">
        <v>0.66666666666666696</v>
      </c>
      <c r="D17" s="4">
        <f>'[1]2'!V27</f>
        <v>0.93400000000000005</v>
      </c>
      <c r="E17" s="5">
        <f>'[1]2'!AJ27</f>
        <v>117</v>
      </c>
      <c r="F17" s="2">
        <f t="shared" si="0"/>
        <v>125.26766595289078</v>
      </c>
    </row>
    <row r="18" spans="1:6" x14ac:dyDescent="0.35">
      <c r="A18" s="3">
        <f t="shared" si="1"/>
        <v>42768</v>
      </c>
      <c r="B18" s="1">
        <v>2.6666666666666701</v>
      </c>
      <c r="C18" s="1">
        <v>0.70833333333333404</v>
      </c>
      <c r="D18" s="4">
        <f>'[1]2'!V28</f>
        <v>0.90300000000000002</v>
      </c>
      <c r="E18" s="5">
        <f>'[1]2'!AJ28</f>
        <v>119</v>
      </c>
      <c r="F18" s="2">
        <f t="shared" si="0"/>
        <v>131.7829457364341</v>
      </c>
    </row>
    <row r="19" spans="1:6" x14ac:dyDescent="0.35">
      <c r="A19" s="3">
        <f t="shared" si="1"/>
        <v>42768</v>
      </c>
      <c r="B19" s="1">
        <v>2.7083333333333299</v>
      </c>
      <c r="C19" s="1">
        <v>0.750000000000002</v>
      </c>
      <c r="D19" s="4">
        <f>'[1]2'!V29</f>
        <v>1.012</v>
      </c>
      <c r="E19" s="5">
        <f>'[1]2'!AJ29</f>
        <v>139</v>
      </c>
      <c r="F19" s="2">
        <f t="shared" si="0"/>
        <v>137.35177865612647</v>
      </c>
    </row>
    <row r="20" spans="1:6" x14ac:dyDescent="0.35">
      <c r="A20" s="3">
        <f t="shared" si="1"/>
        <v>42768</v>
      </c>
      <c r="B20" s="1">
        <v>2.75</v>
      </c>
      <c r="C20" s="1">
        <v>0.79166666666666896</v>
      </c>
      <c r="D20" s="4">
        <f>'[1]2'!V30</f>
        <v>0.88</v>
      </c>
      <c r="E20" s="5">
        <f>'[1]2'!AJ30</f>
        <v>141</v>
      </c>
      <c r="F20" s="2">
        <f t="shared" si="0"/>
        <v>160.22727272727272</v>
      </c>
    </row>
    <row r="21" spans="1:6" x14ac:dyDescent="0.35">
      <c r="A21" s="3">
        <f t="shared" si="1"/>
        <v>42768</v>
      </c>
      <c r="B21" s="1">
        <v>2.7916666666666701</v>
      </c>
      <c r="C21" s="1">
        <v>0.83333333333333703</v>
      </c>
      <c r="D21" s="4">
        <f>'[1]2'!V31</f>
        <v>0.97599999999999998</v>
      </c>
      <c r="E21" s="5">
        <f>'[1]2'!AJ31</f>
        <v>153</v>
      </c>
      <c r="F21" s="2">
        <f t="shared" si="0"/>
        <v>156.76229508196721</v>
      </c>
    </row>
    <row r="22" spans="1:6" x14ac:dyDescent="0.35">
      <c r="A22" s="3">
        <f t="shared" si="1"/>
        <v>42768</v>
      </c>
      <c r="B22" s="1">
        <v>2.8333333333333299</v>
      </c>
      <c r="C22" s="1">
        <v>0.875000000000004</v>
      </c>
      <c r="D22" s="4">
        <f>'[1]2'!V32</f>
        <v>0.81399999999999995</v>
      </c>
      <c r="E22" s="5">
        <f>'[1]2'!AJ32</f>
        <v>144</v>
      </c>
      <c r="F22" s="2">
        <f t="shared" si="0"/>
        <v>176.90417690417692</v>
      </c>
    </row>
    <row r="23" spans="1:6" x14ac:dyDescent="0.35">
      <c r="A23" s="3">
        <f t="shared" si="1"/>
        <v>42768</v>
      </c>
      <c r="B23" s="1">
        <v>2.875</v>
      </c>
      <c r="C23" s="1">
        <v>0.91666666666667096</v>
      </c>
      <c r="D23" s="4">
        <f>'[1]2'!V33</f>
        <v>1.012</v>
      </c>
      <c r="E23" s="5">
        <f>'[1]2'!AJ33</f>
        <v>137</v>
      </c>
      <c r="F23" s="2">
        <f t="shared" si="0"/>
        <v>135.37549407114625</v>
      </c>
    </row>
    <row r="24" spans="1:6" x14ac:dyDescent="0.35">
      <c r="A24" s="3">
        <f t="shared" si="1"/>
        <v>42768</v>
      </c>
      <c r="B24" s="1">
        <v>2.9166666666666701</v>
      </c>
      <c r="C24" s="1">
        <v>0.95833333333333803</v>
      </c>
      <c r="D24" s="4">
        <f>'[1]2'!V34</f>
        <v>0.68200000000000005</v>
      </c>
      <c r="E24" s="5">
        <f>'[1]2'!AJ34</f>
        <v>84</v>
      </c>
      <c r="F24" s="2">
        <f t="shared" si="0"/>
        <v>123.16715542521993</v>
      </c>
    </row>
    <row r="25" spans="1:6" x14ac:dyDescent="0.35">
      <c r="A25" s="3">
        <f t="shared" si="1"/>
        <v>42768</v>
      </c>
      <c r="B25" s="1">
        <v>2.9583333333333299</v>
      </c>
      <c r="C25" s="1">
        <v>1</v>
      </c>
      <c r="D25" s="4">
        <f>'[1]2'!V35</f>
        <v>0.61099999999999999</v>
      </c>
      <c r="E25" s="5">
        <f>'[1]2'!AJ35</f>
        <v>57</v>
      </c>
      <c r="F25" s="2">
        <f t="shared" si="0"/>
        <v>93.289689034369886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2019-06-18T16:08:38Z</dcterms:modified>
</cp:coreProperties>
</file>